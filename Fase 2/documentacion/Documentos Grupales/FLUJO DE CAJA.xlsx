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lujo de Caja" sheetId="1" r:id="rId4"/>
  </sheets>
  <definedNames/>
  <calcPr/>
  <extLst>
    <ext uri="GoogleSheetsCustomDataVersion2">
      <go:sheetsCustomData xmlns:go="http://customooxmlschemas.google.com/" r:id="rId5" roundtripDataChecksum="ZK2H9ne0rsPnSjOrZP2UVenD+/xFt7oCm9K5doB8MIo="/>
    </ext>
  </extLst>
</workbook>
</file>

<file path=xl/sharedStrings.xml><?xml version="1.0" encoding="utf-8"?>
<sst xmlns="http://schemas.openxmlformats.org/spreadsheetml/2006/main" count="17" uniqueCount="17">
  <si>
    <t xml:space="preserve">ITEM </t>
  </si>
  <si>
    <t>MES 0</t>
  </si>
  <si>
    <t>AGOSTO</t>
  </si>
  <si>
    <t xml:space="preserve">SEPTIEMBRE </t>
  </si>
  <si>
    <t>OCTUBRE</t>
  </si>
  <si>
    <t xml:space="preserve">NOVIEMBRE </t>
  </si>
  <si>
    <t>DICIEMBRE</t>
  </si>
  <si>
    <t>TOTAL</t>
  </si>
  <si>
    <t>INGRESO</t>
  </si>
  <si>
    <t>Costos Indirectos</t>
  </si>
  <si>
    <t xml:space="preserve">Administración y Gestión </t>
  </si>
  <si>
    <t>Contingencias y Riesgos</t>
  </si>
  <si>
    <t>SULEDOS FASE PLANIFICACION</t>
  </si>
  <si>
    <t>SUELDO FASE ANALISIS Y DISEÑO</t>
  </si>
  <si>
    <t>SULEDO FASE DESARROLLO</t>
  </si>
  <si>
    <t xml:space="preserve">EGRESOS </t>
  </si>
  <si>
    <t>FLUJOS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</si>
</sst>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&quot;$&quot;* #,##0_ ;_ &quot;$&quot;* \-#,##0_ ;_ &quot;$&quot;* &quot;-&quot;_ ;_ @_ "/>
    <numFmt numFmtId="165" formatCode="_-&quot;$&quot;\ * #,##0_-;\-&quot;$&quot;\ * #,##0_-;_-&quot;$&quot;\ * &quot;-&quot;??_-;_-@"/>
  </numFmts>
  <fonts count="3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</fills>
  <borders count="25">
    <border/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/>
      <top style="medium">
        <color rgb="FF000000"/>
      </top>
    </border>
    <border>
      <left/>
      <right/>
      <top style="medium">
        <color rgb="FF000000"/>
      </top>
    </border>
    <border>
      <left/>
      <top style="medium">
        <color rgb="FF000000"/>
      </top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3" fillId="0" fontId="1" numFmtId="164" xfId="0" applyAlignment="1" applyBorder="1" applyFont="1" applyNumberFormat="1">
      <alignment readingOrder="0"/>
    </xf>
    <xf borderId="3" fillId="0" fontId="1" numFmtId="165" xfId="0" applyBorder="1" applyFont="1" applyNumberFormat="1"/>
    <xf borderId="4" fillId="0" fontId="1" numFmtId="165" xfId="0" applyBorder="1" applyFont="1" applyNumberFormat="1"/>
    <xf borderId="5" fillId="2" fontId="1" numFmtId="0" xfId="0" applyBorder="1" applyFont="1"/>
    <xf borderId="6" fillId="2" fontId="1" numFmtId="165" xfId="0" applyBorder="1" applyFont="1" applyNumberFormat="1"/>
    <xf borderId="7" fillId="2" fontId="1" numFmtId="165" xfId="0" applyBorder="1" applyFont="1" applyNumberFormat="1"/>
    <xf borderId="8" fillId="2" fontId="1" numFmtId="165" xfId="0" applyBorder="1" applyFont="1" applyNumberFormat="1"/>
    <xf borderId="9" fillId="0" fontId="1" numFmtId="0" xfId="0" applyAlignment="1" applyBorder="1" applyFont="1">
      <alignment readingOrder="0"/>
    </xf>
    <xf borderId="10" fillId="0" fontId="1" numFmtId="164" xfId="0" applyAlignment="1" applyBorder="1" applyFont="1" applyNumberFormat="1">
      <alignment readingOrder="0"/>
    </xf>
    <xf borderId="10" fillId="0" fontId="1" numFmtId="165" xfId="0" applyAlignment="1" applyBorder="1" applyFont="1" applyNumberFormat="1">
      <alignment readingOrder="0"/>
    </xf>
    <xf borderId="11" fillId="0" fontId="2" numFmtId="0" xfId="0" applyBorder="1" applyFont="1"/>
    <xf borderId="12" fillId="0" fontId="1" numFmtId="0" xfId="0" applyAlignment="1" applyBorder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13" fillId="0" fontId="1" numFmtId="0" xfId="0" applyAlignment="1" applyBorder="1" applyFont="1">
      <alignment readingOrder="0"/>
    </xf>
    <xf borderId="14" fillId="0" fontId="1" numFmtId="164" xfId="0" applyAlignment="1" applyBorder="1" applyFont="1" applyNumberFormat="1">
      <alignment readingOrder="0"/>
    </xf>
    <xf borderId="14" fillId="0" fontId="1" numFmtId="165" xfId="0" applyAlignment="1" applyBorder="1" applyFont="1" applyNumberFormat="1">
      <alignment readingOrder="0"/>
    </xf>
    <xf borderId="15" fillId="0" fontId="2" numFmtId="0" xfId="0" applyBorder="1" applyFont="1"/>
    <xf borderId="12" fillId="0" fontId="1" numFmtId="0" xfId="0" applyBorder="1" applyFont="1"/>
    <xf borderId="0" fillId="0" fontId="1" numFmtId="165" xfId="0" applyFont="1" applyNumberFormat="1"/>
    <xf borderId="12" fillId="0" fontId="1" numFmtId="0" xfId="0" applyAlignment="1" applyBorder="1" applyFont="1">
      <alignment vertical="top"/>
    </xf>
    <xf borderId="0" fillId="0" fontId="1" numFmtId="165" xfId="0" applyAlignment="1" applyFont="1" applyNumberFormat="1">
      <alignment vertical="top"/>
    </xf>
    <xf borderId="0" fillId="0" fontId="1" numFmtId="165" xfId="0" applyAlignment="1" applyFont="1" applyNumberFormat="1">
      <alignment shrinkToFit="0" wrapText="1"/>
    </xf>
    <xf borderId="16" fillId="2" fontId="1" numFmtId="0" xfId="0" applyBorder="1" applyFont="1"/>
    <xf borderId="17" fillId="2" fontId="1" numFmtId="165" xfId="0" applyBorder="1" applyFont="1" applyNumberFormat="1"/>
    <xf borderId="18" fillId="2" fontId="1" numFmtId="165" xfId="0" applyBorder="1" applyFont="1" applyNumberFormat="1"/>
    <xf borderId="19" fillId="3" fontId="2" numFmtId="165" xfId="0" applyBorder="1" applyFill="1" applyFont="1" applyNumberFormat="1"/>
    <xf borderId="20" fillId="0" fontId="1" numFmtId="0" xfId="0" applyBorder="1" applyFont="1"/>
    <xf borderId="21" fillId="0" fontId="1" numFmtId="0" xfId="0" applyBorder="1" applyFont="1"/>
    <xf borderId="22" fillId="0" fontId="1" numFmtId="0" xfId="0" applyBorder="1" applyFont="1"/>
    <xf borderId="19" fillId="0" fontId="2" numFmtId="0" xfId="0" applyBorder="1" applyFont="1"/>
    <xf borderId="23" fillId="2" fontId="1" numFmtId="0" xfId="0" applyBorder="1" applyFont="1"/>
    <xf borderId="24" fillId="2" fontId="1" numFmtId="165" xfId="0" applyBorder="1" applyFont="1" applyNumberFormat="1"/>
    <xf borderId="19" fillId="2" fontId="1" numFmtId="165" xfId="0" applyBorder="1" applyFont="1" applyNumberForma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28.29"/>
    <col customWidth="1" min="3" max="3" width="15.29"/>
    <col customWidth="1" min="4" max="4" width="16.43"/>
    <col customWidth="1" min="5" max="5" width="15.86"/>
    <col customWidth="1" min="6" max="6" width="15.14"/>
    <col customWidth="1" min="7" max="7" width="16.71"/>
    <col customWidth="1" min="8" max="8" width="18.14"/>
    <col customWidth="1" min="9" max="9" width="13.0"/>
    <col customWidth="1" min="10" max="10" width="15.57"/>
    <col customWidth="1" min="11" max="21" width="10.71"/>
  </cols>
  <sheetData>
    <row r="1" ht="14.25" customHeight="1"/>
    <row r="2" ht="14.2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2" t="s">
        <v>7</v>
      </c>
    </row>
    <row r="3" ht="14.25" customHeight="1">
      <c r="B3" s="3"/>
      <c r="C3" s="4">
        <v>0.0</v>
      </c>
      <c r="D3" s="5">
        <v>0.0</v>
      </c>
      <c r="E3" s="5">
        <v>0.0</v>
      </c>
      <c r="F3" s="5"/>
      <c r="G3" s="5">
        <v>0.0</v>
      </c>
      <c r="H3" s="5">
        <v>0.0</v>
      </c>
      <c r="I3" s="6">
        <v>0.0</v>
      </c>
    </row>
    <row r="4" ht="14.25" customHeight="1">
      <c r="B4" s="7" t="s">
        <v>8</v>
      </c>
      <c r="C4" s="8">
        <f t="shared" ref="C4:I4" si="1">SUM(C3)</f>
        <v>0</v>
      </c>
      <c r="D4" s="8">
        <f t="shared" si="1"/>
        <v>0</v>
      </c>
      <c r="E4" s="8">
        <f t="shared" si="1"/>
        <v>0</v>
      </c>
      <c r="F4" s="8">
        <f t="shared" si="1"/>
        <v>0</v>
      </c>
      <c r="G4" s="8">
        <f t="shared" si="1"/>
        <v>0</v>
      </c>
      <c r="H4" s="9">
        <f t="shared" si="1"/>
        <v>0</v>
      </c>
      <c r="I4" s="10">
        <f t="shared" si="1"/>
        <v>0</v>
      </c>
    </row>
    <row r="5" ht="14.25" customHeight="1">
      <c r="B5" s="11" t="s">
        <v>9</v>
      </c>
      <c r="C5" s="12"/>
      <c r="D5" s="13"/>
      <c r="E5" s="13"/>
      <c r="F5" s="13"/>
      <c r="G5" s="13"/>
      <c r="H5" s="13">
        <v>3031276.5</v>
      </c>
      <c r="I5" s="14"/>
    </row>
    <row r="6" ht="14.25" customHeight="1">
      <c r="B6" s="15" t="s">
        <v>10</v>
      </c>
      <c r="C6" s="16"/>
      <c r="D6" s="17"/>
      <c r="E6" s="17"/>
      <c r="F6" s="17"/>
      <c r="G6" s="17"/>
      <c r="H6" s="17">
        <v>1515638.25</v>
      </c>
      <c r="I6" s="14"/>
    </row>
    <row r="7" ht="14.25" customHeight="1">
      <c r="B7" s="18" t="s">
        <v>11</v>
      </c>
      <c r="C7" s="19"/>
      <c r="D7" s="20"/>
      <c r="E7" s="20"/>
      <c r="F7" s="20"/>
      <c r="G7" s="20"/>
      <c r="H7" s="20">
        <v>505212.0</v>
      </c>
      <c r="I7" s="21"/>
    </row>
    <row r="8" ht="14.25" customHeight="1">
      <c r="B8" s="22"/>
      <c r="C8" s="16"/>
      <c r="D8" s="17"/>
      <c r="E8" s="17"/>
      <c r="F8" s="17"/>
      <c r="G8" s="17"/>
      <c r="H8" s="17">
        <v>0.0</v>
      </c>
      <c r="I8" s="14"/>
    </row>
    <row r="9" ht="14.25" customHeight="1">
      <c r="B9" s="22" t="s">
        <v>12</v>
      </c>
      <c r="C9" s="16">
        <v>0.0</v>
      </c>
      <c r="D9" s="17">
        <v>1667210.0</v>
      </c>
      <c r="E9" s="23"/>
      <c r="F9" s="23"/>
      <c r="G9" s="23"/>
      <c r="H9" s="23">
        <v>0.0</v>
      </c>
      <c r="I9" s="14"/>
    </row>
    <row r="10" ht="14.25" customHeight="1">
      <c r="B10" s="22" t="s">
        <v>13</v>
      </c>
      <c r="D10" s="23">
        <v>0.0</v>
      </c>
      <c r="E10" s="17">
        <v>3820372.0</v>
      </c>
      <c r="F10" s="17">
        <v>3820372.0</v>
      </c>
      <c r="G10" s="17"/>
      <c r="H10" s="23">
        <v>0.0</v>
      </c>
      <c r="I10" s="14"/>
    </row>
    <row r="11" ht="15.0" customHeight="1">
      <c r="B11" s="24" t="s">
        <v>14</v>
      </c>
      <c r="C11" s="25"/>
      <c r="D11" s="26"/>
      <c r="E11" s="23"/>
      <c r="F11" s="23"/>
      <c r="G11" s="17">
        <v>796300.0</v>
      </c>
      <c r="H11" s="17"/>
      <c r="I11" s="14"/>
    </row>
    <row r="12" ht="14.25" customHeight="1">
      <c r="B12" s="15"/>
      <c r="C12" s="23"/>
      <c r="D12" s="23"/>
      <c r="E12" s="23"/>
      <c r="F12" s="23"/>
      <c r="G12" s="23"/>
      <c r="H12" s="17">
        <v>0.0</v>
      </c>
      <c r="I12" s="14"/>
    </row>
    <row r="13" ht="14.25" customHeight="1">
      <c r="B13" s="27" t="s">
        <v>15</v>
      </c>
      <c r="C13" s="28">
        <f>C5+C6+C7+C8+C9+C10+C12+C11</f>
        <v>0</v>
      </c>
      <c r="D13" s="28">
        <f>SUM(D5:D12)</f>
        <v>1667210</v>
      </c>
      <c r="E13" s="28">
        <f>SUM(E6:E12)</f>
        <v>3820372</v>
      </c>
      <c r="F13" s="28">
        <f t="shared" ref="F13:G13" si="2">F6+F10+F5+F7+F8+F9+F11+F12</f>
        <v>3820372</v>
      </c>
      <c r="G13" s="28">
        <f t="shared" si="2"/>
        <v>796300</v>
      </c>
      <c r="H13" s="29">
        <f>H6+H5+H7+H8+H9+H10+H11+H12</f>
        <v>5052126.75</v>
      </c>
      <c r="I13" s="30">
        <f>SUM(C13:H13)</f>
        <v>15156380.75</v>
      </c>
    </row>
    <row r="14" ht="14.25" customHeight="1">
      <c r="B14" s="31"/>
      <c r="C14" s="32"/>
      <c r="D14" s="32"/>
      <c r="E14" s="32"/>
      <c r="F14" s="32"/>
      <c r="G14" s="32"/>
      <c r="H14" s="33"/>
      <c r="I14" s="34"/>
    </row>
    <row r="15" ht="14.25" customHeight="1">
      <c r="B15" s="35" t="s">
        <v>16</v>
      </c>
      <c r="C15" s="36">
        <f t="shared" ref="C15:H15" si="3">C4-C13</f>
        <v>0</v>
      </c>
      <c r="D15" s="36">
        <f t="shared" si="3"/>
        <v>-1667210</v>
      </c>
      <c r="E15" s="36">
        <f t="shared" si="3"/>
        <v>-3820372</v>
      </c>
      <c r="F15" s="36">
        <f t="shared" si="3"/>
        <v>-3820372</v>
      </c>
      <c r="G15" s="36">
        <f t="shared" si="3"/>
        <v>-796300</v>
      </c>
      <c r="H15" s="10">
        <f t="shared" si="3"/>
        <v>-5052126.75</v>
      </c>
      <c r="I15" s="37">
        <f>D15+E15+F15+G15+H15</f>
        <v>-15156380.75</v>
      </c>
      <c r="J15" s="38"/>
    </row>
    <row r="16" ht="14.25" customHeight="1">
      <c r="C16" s="23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2019-12-04T02:06:11Z</dcterms:created>
  <dc:creator>Barbara!</dc:creator>
</cp:coreProperties>
</file>